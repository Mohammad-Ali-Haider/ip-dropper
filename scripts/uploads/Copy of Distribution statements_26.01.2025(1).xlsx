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c47a8cadf16fa4/Desktop/"/>
    </mc:Choice>
  </mc:AlternateContent>
  <xr:revisionPtr revIDLastSave="0" documentId="8_{C78053B8-4E1E-4C96-A9EF-9AE3FED647DD}" xr6:coauthVersionLast="47" xr6:coauthVersionMax="47" xr10:uidLastSave="{00000000-0000-0000-0000-000000000000}"/>
  <bookViews>
    <workbookView xWindow="-120" yWindow="-120" windowWidth="29040" windowHeight="15720" xr2:uid="{34D00BF3-FF12-498B-A1FF-EAFD075F67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E20" i="1"/>
  <c r="E19" i="1"/>
  <c r="D24" i="1"/>
  <c r="H21" i="1"/>
  <c r="G21" i="1"/>
  <c r="D22" i="1"/>
  <c r="I4" i="1"/>
  <c r="I5" i="1"/>
  <c r="I19" i="1"/>
  <c r="I20" i="1"/>
  <c r="U4" i="1"/>
  <c r="K10" i="1"/>
  <c r="O10" i="1" s="1"/>
  <c r="R10" i="1" s="1"/>
  <c r="D9" i="1"/>
  <c r="K9" i="1" s="1"/>
  <c r="K8" i="1"/>
  <c r="O8" i="1" s="1"/>
  <c r="R8" i="1" s="1"/>
  <c r="K6" i="1"/>
  <c r="O6" i="1" s="1"/>
  <c r="R6" i="1" s="1"/>
  <c r="K4" i="1"/>
  <c r="O4" i="1" s="1"/>
  <c r="R4" i="1" s="1"/>
  <c r="D7" i="1"/>
  <c r="K7" i="1" s="1"/>
  <c r="U8" i="1" l="1"/>
  <c r="U11" i="1"/>
  <c r="K5" i="1"/>
  <c r="O9" i="1"/>
  <c r="O7" i="1"/>
  <c r="R7" i="1" s="1"/>
  <c r="R9" i="1" l="1"/>
  <c r="O5" i="1"/>
  <c r="K12" i="1"/>
  <c r="R5" i="1" l="1"/>
  <c r="R12" i="1" l="1"/>
</calcChain>
</file>

<file path=xl/sharedStrings.xml><?xml version="1.0" encoding="utf-8"?>
<sst xmlns="http://schemas.openxmlformats.org/spreadsheetml/2006/main" count="28" uniqueCount="12">
  <si>
    <t>Ratio</t>
  </si>
  <si>
    <t xml:space="preserve">Amounts Invested </t>
  </si>
  <si>
    <t xml:space="preserve">Amounts Distributed </t>
  </si>
  <si>
    <t>Months</t>
  </si>
  <si>
    <t xml:space="preserve">Total </t>
  </si>
  <si>
    <t xml:space="preserve">Name </t>
  </si>
  <si>
    <t>Sold for Rs</t>
  </si>
  <si>
    <t>A</t>
  </si>
  <si>
    <t>C</t>
  </si>
  <si>
    <t>B</t>
  </si>
  <si>
    <t>D</t>
  </si>
  <si>
    <t>Time(1)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</si>
</sst>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E8A3-7E7A-40E8-9756-C40790410152}">
  <dimension ref="B3:U31"/>
  <sheetViews>
    <sheetView tabSelected="1" topLeftCell="A12" zoomScale="82" zoomScaleNormal="82" workbookViewId="0">
      <selection activeCell="D25" sqref="D25"/>
    </sheetView>
  </sheetViews>
  <sheetFormatPr defaultRowHeight="15" x14ac:dyDescent="0.25"/>
  <cols>
    <col min="2" max="2" width="3.85546875" customWidth="1"/>
    <col min="3" max="3" width="12.5703125" customWidth="1"/>
    <col min="4" max="8" width="17.85546875" customWidth="1"/>
    <col min="9" max="9" width="12.85546875" bestFit="1" customWidth="1"/>
    <col min="10" max="10" width="7.7109375" customWidth="1"/>
    <col min="11" max="11" width="10.5703125" bestFit="1" customWidth="1"/>
    <col min="12" max="12" width="2" customWidth="1"/>
    <col min="13" max="13" width="10.5703125" bestFit="1" customWidth="1"/>
    <col min="14" max="14" width="2.85546875" customWidth="1"/>
    <col min="16" max="16" width="12.28515625" customWidth="1"/>
    <col min="17" max="17" width="3.5703125" customWidth="1"/>
    <col min="18" max="18" width="19.42578125" bestFit="1" customWidth="1"/>
    <col min="19" max="19" width="3.5703125" customWidth="1"/>
  </cols>
  <sheetData>
    <row r="3" spans="2:21" x14ac:dyDescent="0.25">
      <c r="B3" s="1"/>
      <c r="C3" s="4" t="s">
        <v>5</v>
      </c>
      <c r="D3" s="5" t="s">
        <v>1</v>
      </c>
      <c r="E3" s="5"/>
      <c r="F3" s="5"/>
      <c r="G3" s="5"/>
      <c r="H3" s="5"/>
      <c r="I3" s="4" t="s">
        <v>3</v>
      </c>
      <c r="J3" s="6"/>
      <c r="K3" s="6"/>
      <c r="L3" s="6"/>
      <c r="M3" s="6"/>
      <c r="N3" s="6"/>
      <c r="O3" s="4" t="s">
        <v>0</v>
      </c>
      <c r="P3" s="4" t="s">
        <v>6</v>
      </c>
      <c r="Q3" s="1"/>
      <c r="R3" s="5" t="s">
        <v>2</v>
      </c>
      <c r="S3" s="1"/>
    </row>
    <row r="4" spans="2:21" x14ac:dyDescent="0.25">
      <c r="B4" s="1"/>
      <c r="C4" s="2" t="s">
        <v>7</v>
      </c>
      <c r="D4" s="2">
        <v>0</v>
      </c>
      <c r="E4" s="2"/>
      <c r="F4" s="2"/>
      <c r="G4" s="2"/>
      <c r="H4" s="2"/>
      <c r="I4" s="2">
        <f>17*12</f>
        <v>204</v>
      </c>
      <c r="J4" s="2"/>
      <c r="K4" s="2">
        <f>+D4*I4</f>
        <v>0</v>
      </c>
      <c r="L4" s="2"/>
      <c r="M4" s="2">
        <v>172918000</v>
      </c>
      <c r="N4" s="2"/>
      <c r="O4" s="3">
        <f>+K4/M4</f>
        <v>0</v>
      </c>
      <c r="P4" s="2">
        <v>8525000</v>
      </c>
      <c r="Q4" s="2"/>
      <c r="R4" s="2">
        <f>+P4*O4</f>
        <v>0</v>
      </c>
      <c r="S4" s="1"/>
      <c r="U4">
        <f>SUM(D5:D6)</f>
        <v>847000</v>
      </c>
    </row>
    <row r="5" spans="2:21" x14ac:dyDescent="0.25">
      <c r="B5" s="1"/>
      <c r="C5" s="2" t="s">
        <v>8</v>
      </c>
      <c r="D5" s="2">
        <v>292270</v>
      </c>
      <c r="E5" s="2"/>
      <c r="F5" s="2"/>
      <c r="G5" s="2"/>
      <c r="H5" s="2"/>
      <c r="I5" s="2">
        <f>17*12</f>
        <v>204</v>
      </c>
      <c r="J5" s="2"/>
      <c r="K5" s="2">
        <f>+D5*I5</f>
        <v>59623080</v>
      </c>
      <c r="L5" s="2"/>
      <c r="M5" s="2">
        <v>172918000</v>
      </c>
      <c r="N5" s="2"/>
      <c r="O5" s="3">
        <f t="shared" ref="O5:O10" si="0">+K5/M5</f>
        <v>0.3448055147526573</v>
      </c>
      <c r="P5" s="2">
        <v>8525000</v>
      </c>
      <c r="Q5" s="2"/>
      <c r="R5" s="7">
        <f t="shared" ref="R5:R10" si="1">+P5*O5</f>
        <v>2939467.0132664037</v>
      </c>
      <c r="S5" s="1"/>
    </row>
    <row r="6" spans="2:21" x14ac:dyDescent="0.25">
      <c r="B6" s="1"/>
      <c r="C6" s="2" t="s">
        <v>9</v>
      </c>
      <c r="D6" s="2">
        <v>554730</v>
      </c>
      <c r="E6" s="2"/>
      <c r="F6" s="2"/>
      <c r="G6" s="2"/>
      <c r="H6" s="2"/>
      <c r="I6" s="2">
        <v>120</v>
      </c>
      <c r="J6" s="2"/>
      <c r="K6" s="2">
        <f>+D6*I6</f>
        <v>66567600</v>
      </c>
      <c r="L6" s="2"/>
      <c r="M6" s="2">
        <v>172918000</v>
      </c>
      <c r="N6" s="2"/>
      <c r="O6" s="3">
        <f t="shared" si="0"/>
        <v>0.38496628459732357</v>
      </c>
      <c r="P6" s="2">
        <v>8525000</v>
      </c>
      <c r="Q6" s="2"/>
      <c r="R6" s="7">
        <f t="shared" si="1"/>
        <v>3281837.5761921834</v>
      </c>
      <c r="S6" s="1"/>
    </row>
    <row r="7" spans="2:21" x14ac:dyDescent="0.25">
      <c r="B7" s="1"/>
      <c r="C7" s="2" t="s">
        <v>9</v>
      </c>
      <c r="D7" s="2">
        <f>+D6-D8</f>
        <v>424730</v>
      </c>
      <c r="E7" s="2"/>
      <c r="F7" s="2"/>
      <c r="G7" s="2"/>
      <c r="H7" s="2"/>
      <c r="I7" s="2">
        <v>83</v>
      </c>
      <c r="J7" s="2"/>
      <c r="K7" s="2">
        <f>+D7*I7</f>
        <v>35252590</v>
      </c>
      <c r="L7" s="2"/>
      <c r="M7" s="2">
        <v>172918000</v>
      </c>
      <c r="N7" s="2"/>
      <c r="O7" s="3">
        <f t="shared" si="0"/>
        <v>0.20386882799939857</v>
      </c>
      <c r="P7" s="2">
        <v>8525000</v>
      </c>
      <c r="Q7" s="2"/>
      <c r="R7" s="7">
        <f t="shared" si="1"/>
        <v>1737981.7586948727</v>
      </c>
      <c r="S7" s="1"/>
    </row>
    <row r="8" spans="2:21" x14ac:dyDescent="0.25">
      <c r="B8" s="1"/>
      <c r="C8" s="2" t="s">
        <v>10</v>
      </c>
      <c r="D8" s="2">
        <v>130000</v>
      </c>
      <c r="E8" s="2"/>
      <c r="F8" s="2"/>
      <c r="G8" s="2"/>
      <c r="H8" s="2"/>
      <c r="I8" s="2">
        <v>84</v>
      </c>
      <c r="J8" s="2"/>
      <c r="K8" s="2">
        <f>+D8*I8</f>
        <v>10920000</v>
      </c>
      <c r="L8" s="2"/>
      <c r="M8" s="2">
        <v>172918000</v>
      </c>
      <c r="N8" s="2"/>
      <c r="O8" s="3">
        <f t="shared" si="0"/>
        <v>6.3151320278976159E-2</v>
      </c>
      <c r="P8" s="2">
        <v>8525000</v>
      </c>
      <c r="Q8" s="2"/>
      <c r="R8" s="7">
        <f t="shared" si="1"/>
        <v>538365.0053782718</v>
      </c>
      <c r="S8" s="1"/>
      <c r="U8">
        <f>SUM(D5,D7,D8)</f>
        <v>847000</v>
      </c>
    </row>
    <row r="9" spans="2:21" x14ac:dyDescent="0.25">
      <c r="B9" s="1"/>
      <c r="C9" s="2" t="s">
        <v>9</v>
      </c>
      <c r="D9" s="2">
        <f>+D6-D10</f>
        <v>539730</v>
      </c>
      <c r="E9" s="2"/>
      <c r="F9" s="2"/>
      <c r="G9" s="2"/>
      <c r="H9" s="2"/>
      <c r="I9" s="2">
        <v>1</v>
      </c>
      <c r="J9" s="2"/>
      <c r="K9" s="2">
        <f>+D9*I9</f>
        <v>539730</v>
      </c>
      <c r="L9" s="2"/>
      <c r="M9" s="2">
        <v>172918000</v>
      </c>
      <c r="N9" s="2"/>
      <c r="O9" s="3">
        <f t="shared" si="0"/>
        <v>3.1213060525798354E-3</v>
      </c>
      <c r="P9" s="2">
        <v>8525000</v>
      </c>
      <c r="Q9" s="2"/>
      <c r="R9" s="7">
        <f t="shared" si="1"/>
        <v>26609.134098243096</v>
      </c>
      <c r="S9" s="1"/>
    </row>
    <row r="10" spans="2:21" x14ac:dyDescent="0.25">
      <c r="B10" s="1"/>
      <c r="C10" s="2" t="s">
        <v>10</v>
      </c>
      <c r="D10" s="2">
        <v>15000</v>
      </c>
      <c r="E10" s="2"/>
      <c r="F10" s="2"/>
      <c r="G10" s="2"/>
      <c r="H10" s="2"/>
      <c r="I10" s="2">
        <v>1</v>
      </c>
      <c r="J10" s="2"/>
      <c r="K10" s="2">
        <f>+D10*I10</f>
        <v>15000</v>
      </c>
      <c r="L10" s="2"/>
      <c r="M10" s="2">
        <v>172918000</v>
      </c>
      <c r="N10" s="2"/>
      <c r="O10" s="3">
        <f t="shared" si="0"/>
        <v>8.67463190645277E-5</v>
      </c>
      <c r="P10" s="2">
        <v>8525000</v>
      </c>
      <c r="Q10" s="2"/>
      <c r="R10" s="7">
        <f t="shared" si="1"/>
        <v>739.51237002509868</v>
      </c>
      <c r="S10" s="1"/>
      <c r="U10" s="8"/>
    </row>
    <row r="11" spans="2:21" x14ac:dyDescent="0.25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S11" s="1"/>
      <c r="U11">
        <f>SUM(D9,D10,D5)</f>
        <v>847000</v>
      </c>
    </row>
    <row r="12" spans="2:21" x14ac:dyDescent="0.25">
      <c r="B12" s="1"/>
      <c r="C12" s="10" t="s">
        <v>4</v>
      </c>
      <c r="D12" s="2"/>
      <c r="E12" s="2"/>
      <c r="F12" s="2"/>
      <c r="G12" s="2"/>
      <c r="H12" s="2"/>
      <c r="I12" s="2"/>
      <c r="J12" s="2"/>
      <c r="K12" s="4">
        <f>SUM(K4:K10)</f>
        <v>172918000</v>
      </c>
      <c r="L12" s="2"/>
      <c r="M12" s="2"/>
      <c r="N12" s="2"/>
      <c r="O12" s="2"/>
      <c r="P12" s="2"/>
      <c r="Q12" s="2"/>
      <c r="R12" s="4">
        <f>SUM(R4:R10)</f>
        <v>8525000</v>
      </c>
      <c r="S12" s="1"/>
    </row>
    <row r="13" spans="2:21" x14ac:dyDescent="0.25">
      <c r="B13" s="1"/>
      <c r="C13" s="1"/>
      <c r="D13" s="9"/>
      <c r="E13" s="9"/>
      <c r="F13" s="9"/>
      <c r="G13" s="9"/>
      <c r="H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8" spans="3:9" x14ac:dyDescent="0.25">
      <c r="C18" s="4" t="s">
        <v>5</v>
      </c>
      <c r="D18" s="5" t="s">
        <v>1</v>
      </c>
      <c r="E18" s="4" t="s">
        <v>3</v>
      </c>
      <c r="F18" s="5" t="s">
        <v>11</v>
      </c>
      <c r="G18" s="5" t="s">
        <v>11</v>
      </c>
      <c r="H18" s="5" t="s">
        <v>11</v>
      </c>
      <c r="I18" s="4" t="s">
        <v>3</v>
      </c>
    </row>
    <row r="19" spans="3:9" x14ac:dyDescent="0.25">
      <c r="C19" s="2" t="s">
        <v>7</v>
      </c>
      <c r="D19" s="2">
        <v>0</v>
      </c>
      <c r="E19" s="2">
        <f>17*12</f>
        <v>204</v>
      </c>
      <c r="F19" s="2">
        <v>0</v>
      </c>
      <c r="G19" s="2">
        <v>0</v>
      </c>
      <c r="H19" s="2">
        <v>0</v>
      </c>
      <c r="I19" s="2">
        <f>17*12</f>
        <v>204</v>
      </c>
    </row>
    <row r="20" spans="3:9" x14ac:dyDescent="0.25">
      <c r="C20" s="2" t="s">
        <v>8</v>
      </c>
      <c r="D20" s="2">
        <v>292270</v>
      </c>
      <c r="E20" s="2">
        <f>17*12</f>
        <v>204</v>
      </c>
      <c r="F20" s="2">
        <v>292270</v>
      </c>
      <c r="G20" s="2">
        <v>292270</v>
      </c>
      <c r="H20" s="2">
        <v>292270</v>
      </c>
      <c r="I20" s="2">
        <f>17*12</f>
        <v>204</v>
      </c>
    </row>
    <row r="21" spans="3:9" x14ac:dyDescent="0.25">
      <c r="C21" s="2" t="s">
        <v>9</v>
      </c>
      <c r="D21" s="2">
        <v>554730</v>
      </c>
      <c r="E21" s="2">
        <v>120</v>
      </c>
      <c r="F21" s="2">
        <v>554730</v>
      </c>
      <c r="G21" s="2">
        <f>SUM(F21,-G22)</f>
        <v>424730</v>
      </c>
      <c r="H21" s="2">
        <f>SUM(F21,-H22)</f>
        <v>409730</v>
      </c>
      <c r="I21" s="2">
        <v>120</v>
      </c>
    </row>
    <row r="22" spans="3:9" x14ac:dyDescent="0.25">
      <c r="C22" s="2" t="s">
        <v>10</v>
      </c>
      <c r="D22" s="2">
        <f>+D21-D23</f>
        <v>424730</v>
      </c>
      <c r="E22" s="2">
        <v>83</v>
      </c>
      <c r="F22" s="2">
        <v>0</v>
      </c>
      <c r="G22" s="2">
        <v>130000</v>
      </c>
      <c r="H22" s="2">
        <v>145000</v>
      </c>
      <c r="I22" s="2">
        <v>83</v>
      </c>
    </row>
    <row r="23" spans="3:9" x14ac:dyDescent="0.25">
      <c r="C23" s="2" t="s">
        <v>10</v>
      </c>
      <c r="D23" s="2">
        <v>130000</v>
      </c>
      <c r="E23" s="2">
        <v>83</v>
      </c>
      <c r="F23" s="2"/>
      <c r="G23" s="2"/>
      <c r="H23" s="2"/>
      <c r="I23" s="2">
        <v>83</v>
      </c>
    </row>
    <row r="24" spans="3:9" x14ac:dyDescent="0.25">
      <c r="C24" s="2" t="s">
        <v>9</v>
      </c>
      <c r="D24" s="2">
        <f>SUM(D21,-D25)</f>
        <v>409730</v>
      </c>
      <c r="E24" s="2">
        <v>1</v>
      </c>
      <c r="F24" s="2"/>
      <c r="G24" s="2"/>
      <c r="H24" s="2"/>
      <c r="I24" s="2">
        <v>1</v>
      </c>
    </row>
    <row r="25" spans="3:9" x14ac:dyDescent="0.25">
      <c r="C25" s="2" t="s">
        <v>10</v>
      </c>
      <c r="D25" s="2">
        <v>145000</v>
      </c>
      <c r="E25" s="2">
        <v>1</v>
      </c>
      <c r="F25" s="2"/>
      <c r="G25" s="2"/>
      <c r="H25" s="2"/>
      <c r="I25" s="2">
        <v>1</v>
      </c>
    </row>
    <row r="30" spans="3:9" x14ac:dyDescent="0.25">
      <c r="I30">
        <v>847000</v>
      </c>
    </row>
    <row r="31" spans="3:9" x14ac:dyDescent="0.25">
      <c r="I31">
        <f>D5/I30</f>
        <v>0.34506493506493507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E.H. Haider</dc:creator>
  <cp:lastModifiedBy>AGaming Playz</cp:lastModifiedBy>
  <dcterms:created xsi:type="dcterms:W3CDTF">2025-01-25T18:25:58Z</dcterms:created>
  <dcterms:modified xsi:type="dcterms:W3CDTF">2025-01-26T17:25:45Z</dcterms:modified>
</cp:coreProperties>
</file>